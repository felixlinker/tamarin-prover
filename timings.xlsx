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linker/git/tamarin-prover/"/>
    </mc:Choice>
  </mc:AlternateContent>
  <xr:revisionPtr revIDLastSave="0" documentId="13_ncr:1_{4B6BADA6-E28B-714B-9015-2A4B4ADAFA5B}" xr6:coauthVersionLast="47" xr6:coauthVersionMax="47" xr10:uidLastSave="{00000000-0000-0000-0000-000000000000}"/>
  <bookViews>
    <workbookView xWindow="0" yWindow="760" windowWidth="30240" windowHeight="18880" xr2:uid="{5BAAEA09-D310-6E4D-88E2-83E753A0AB1C}"/>
  </bookViews>
  <sheets>
    <sheet name="timings" sheetId="4" r:id="rId1"/>
  </sheets>
  <definedNames>
    <definedName name="_xlchart.v1.0" hidden="1">timings!$E$2:$E$15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4" l="1"/>
  <c r="E22" i="4" s="1"/>
  <c r="D21" i="4"/>
  <c r="E21" i="4" s="1"/>
  <c r="D14" i="4"/>
  <c r="E14" i="4" s="1"/>
  <c r="D10" i="4"/>
  <c r="E10" i="4" s="1"/>
  <c r="D11" i="4"/>
  <c r="E11" i="4" s="1"/>
  <c r="D3" i="4"/>
  <c r="E3" i="4" s="1"/>
  <c r="D4" i="4"/>
  <c r="E4" i="4" s="1"/>
  <c r="D8" i="4"/>
  <c r="E8" i="4" s="1"/>
  <c r="D6" i="4"/>
  <c r="E6" i="4" s="1"/>
  <c r="D2" i="4"/>
  <c r="E2" i="4" s="1"/>
  <c r="D9" i="4"/>
  <c r="E9" i="4" s="1"/>
  <c r="D7" i="4"/>
  <c r="E7" i="4" s="1"/>
  <c r="D15" i="4"/>
  <c r="E15" i="4" s="1"/>
  <c r="D13" i="4"/>
  <c r="E13" i="4" s="1"/>
  <c r="D12" i="4"/>
  <c r="E12" i="4" s="1"/>
  <c r="D5" i="4"/>
  <c r="E5" i="4" s="1"/>
  <c r="D16" i="4" l="1"/>
  <c r="E16" i="4"/>
</calcChain>
</file>

<file path=xl/sharedStrings.xml><?xml version="1.0" encoding="utf-8"?>
<sst xmlns="http://schemas.openxmlformats.org/spreadsheetml/2006/main" count="23" uniqueCount="21">
  <si>
    <t>TI</t>
  </si>
  <si>
    <t>Minimal_Create_Use_Destroy</t>
  </si>
  <si>
    <t>Minimal_Crypto_API</t>
  </si>
  <si>
    <t>Minimal_HashChain</t>
  </si>
  <si>
    <t>Minimal_KeyRenegotiation</t>
  </si>
  <si>
    <t>Minimal_Loop_Example</t>
  </si>
  <si>
    <t>TESLA_Scheme1</t>
  </si>
  <si>
    <t>TESLA_Scheme2_lossless</t>
  </si>
  <si>
    <t>CI</t>
  </si>
  <si>
    <t>Signal</t>
  </si>
  <si>
    <t>SignalRevealing</t>
  </si>
  <si>
    <t>alternating-loop</t>
  </si>
  <si>
    <t>loop-exits</t>
  </si>
  <si>
    <t>nested-loop</t>
  </si>
  <si>
    <t>revealing-loop</t>
  </si>
  <si>
    <t>up_and_down</t>
  </si>
  <si>
    <t>Row Labels</t>
  </si>
  <si>
    <t>Total</t>
  </si>
  <si>
    <t>diff abs</t>
  </si>
  <si>
    <t>diff rel</t>
  </si>
  <si>
    <t>Without auxiliary lemmas for cyclic induction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</si>
</sst>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0" fontId="0" fillId="0" borderId="0" xfId="1" applyNumberFormat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3">
    <dxf>
      <numFmt numFmtId="14" formatCode="0.00%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boxWhisker" uniqueId="{C58E7BFD-AC7C-5845-9CE1-4774763D6036}">
          <cx:spPr>
            <a:noFill/>
            <a:ln>
              <a:solidFill>
                <a:schemeClr val="tx1"/>
              </a:solidFill>
            </a:ln>
          </cx:spPr>
          <cx:dataLabels pos="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>
                    <a:solidFill>
                      <a:schemeClr val="tx1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 sz="1200" b="0" i="0" u="none" strike="noStrike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0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600" b="0" i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6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355600</xdr:colOff>
      <xdr:row>1</xdr:row>
      <xdr:rowOff>101601</xdr:rowOff>
    </xdr:from>
    <xdr:to>
      <xdr:col>8</xdr:col>
      <xdr:colOff>609600</xdr:colOff>
      <xdr:row>11</xdr:row>
      <xdr:rowOff>81281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30CA45C-A483-5F98-BE8F-B323199068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03800" y="304801"/>
              <a:ext cx="2730500" cy="2011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BED5CF-1569-D149-8DD3-D91B5FAE0F2D}" name="Table2" displayName="Table2" ref="A1:E16" totalsRowCount="1">
  <autoFilter ref="A1:E15" xr:uid="{9EBED5CF-1569-D149-8DD3-D91B5FAE0F2D}"/>
  <sortState xmlns:xlrd2="http://schemas.microsoft.com/office/spreadsheetml/2017/richdata2" ref="A2:E15">
    <sortCondition ref="B1:B15"/>
  </sortState>
  <tableColumns count="5">
    <tableColumn id="1" xr3:uid="{EFE6D29E-3F7A-E04A-8F7D-2F3D4184D70F}" name="Row Labels" totalsRowLabel="Total"/>
    <tableColumn id="2" xr3:uid="{96AA7A7C-F6FB-3847-9E1E-6A27B57A6312}" name="CI"/>
    <tableColumn id="3" xr3:uid="{4739936F-8D6B-614A-B25E-F78F1005EB9B}" name="TI"/>
    <tableColumn id="6" xr3:uid="{98BE26E6-7885-074D-97AD-77C968E29739}" name="diff abs" totalsRowFunction="custom" dataDxfId="2">
      <calculatedColumnFormula>Table2[[#This Row],[CI]]-Table2[[#This Row],[TI]]</calculatedColumnFormula>
      <totalsRowFormula>SUBTOTAL(1,Table2[diff abs])</totalsRowFormula>
    </tableColumn>
    <tableColumn id="5" xr3:uid="{2969EB31-D428-804A-B81A-5D6A0BCEA7F6}" name="diff rel" totalsRowFunction="custom" dataDxfId="1" totalsRowDxfId="0" dataCellStyle="Percent">
      <calculatedColumnFormula>Table2[[#This Row],[diff abs]]/Table2[[#This Row],[TI]]</calculatedColumnFormula>
      <totalsRowFormula>SUBTOTAL(1,Table2[diff rel])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0B05-67D3-7942-8438-FDE76C6FE09A}">
  <dimension ref="A1:E22"/>
  <sheetViews>
    <sheetView tabSelected="1" zoomScale="150" workbookViewId="0">
      <selection activeCell="F21" sqref="F21"/>
    </sheetView>
  </sheetViews>
  <sheetFormatPr baseColWidth="10" defaultRowHeight="16" x14ac:dyDescent="0.2"/>
  <cols>
    <col min="1" max="1" width="25.5" customWidth="1"/>
    <col min="2" max="3" width="6.1640625" bestFit="1" customWidth="1"/>
    <col min="4" max="4" width="12.33203125" customWidth="1"/>
  </cols>
  <sheetData>
    <row r="1" spans="1:5" x14ac:dyDescent="0.2">
      <c r="A1" t="s">
        <v>16</v>
      </c>
      <c r="B1" t="s">
        <v>8</v>
      </c>
      <c r="C1" t="s">
        <v>0</v>
      </c>
      <c r="D1" t="s">
        <v>18</v>
      </c>
      <c r="E1" t="s">
        <v>19</v>
      </c>
    </row>
    <row r="2" spans="1:5" x14ac:dyDescent="0.2">
      <c r="A2" t="s">
        <v>5</v>
      </c>
      <c r="B2">
        <v>0.04</v>
      </c>
      <c r="C2">
        <v>0.05</v>
      </c>
      <c r="D2">
        <f>Table2[[#This Row],[CI]]-Table2[[#This Row],[TI]]</f>
        <v>-1.0000000000000002E-2</v>
      </c>
      <c r="E2" s="2">
        <f>Table2[[#This Row],[diff abs]]/Table2[[#This Row],[TI]]</f>
        <v>-0.20000000000000004</v>
      </c>
    </row>
    <row r="3" spans="1:5" x14ac:dyDescent="0.2">
      <c r="A3" t="s">
        <v>1</v>
      </c>
      <c r="B3">
        <v>0.05</v>
      </c>
      <c r="C3">
        <v>7.0000000000000007E-2</v>
      </c>
      <c r="D3">
        <f>Table2[[#This Row],[CI]]-Table2[[#This Row],[TI]]</f>
        <v>-2.0000000000000004E-2</v>
      </c>
      <c r="E3" s="2">
        <f>Table2[[#This Row],[diff abs]]/Table2[[#This Row],[TI]]</f>
        <v>-0.28571428571428575</v>
      </c>
    </row>
    <row r="4" spans="1:5" x14ac:dyDescent="0.2">
      <c r="A4" t="s">
        <v>2</v>
      </c>
      <c r="B4">
        <v>0.05</v>
      </c>
      <c r="C4">
        <v>0.05</v>
      </c>
      <c r="D4">
        <f>Table2[[#This Row],[CI]]-Table2[[#This Row],[TI]]</f>
        <v>0</v>
      </c>
      <c r="E4" s="2">
        <f>Table2[[#This Row],[diff abs]]/Table2[[#This Row],[TI]]</f>
        <v>0</v>
      </c>
    </row>
    <row r="5" spans="1:5" x14ac:dyDescent="0.2">
      <c r="A5" t="s">
        <v>15</v>
      </c>
      <c r="B5">
        <v>0.06</v>
      </c>
      <c r="C5">
        <v>0.21</v>
      </c>
      <c r="D5">
        <f>Table2[[#This Row],[CI]]-Table2[[#This Row],[TI]]</f>
        <v>-0.15</v>
      </c>
      <c r="E5" s="2">
        <f>Table2[[#This Row],[diff abs]]/Table2[[#This Row],[TI]]</f>
        <v>-0.7142857142857143</v>
      </c>
    </row>
    <row r="6" spans="1:5" x14ac:dyDescent="0.2">
      <c r="A6" t="s">
        <v>4</v>
      </c>
      <c r="B6">
        <v>7.0000000000000007E-2</v>
      </c>
      <c r="C6">
        <v>0.05</v>
      </c>
      <c r="D6">
        <f>Table2[[#This Row],[CI]]-Table2[[#This Row],[TI]]</f>
        <v>2.0000000000000004E-2</v>
      </c>
      <c r="E6" s="2">
        <f>Table2[[#This Row],[diff abs]]/Table2[[#This Row],[TI]]</f>
        <v>0.40000000000000008</v>
      </c>
    </row>
    <row r="7" spans="1:5" x14ac:dyDescent="0.2">
      <c r="A7" t="s">
        <v>14</v>
      </c>
      <c r="B7">
        <v>7.0000000000000007E-2</v>
      </c>
      <c r="C7">
        <v>0.08</v>
      </c>
      <c r="D7">
        <f>Table2[[#This Row],[CI]]-Table2[[#This Row],[TI]]</f>
        <v>-9.999999999999995E-3</v>
      </c>
      <c r="E7" s="2">
        <f>Table2[[#This Row],[diff abs]]/Table2[[#This Row],[TI]]</f>
        <v>-0.12499999999999993</v>
      </c>
    </row>
    <row r="8" spans="1:5" x14ac:dyDescent="0.2">
      <c r="A8" t="s">
        <v>3</v>
      </c>
      <c r="B8">
        <v>0.08</v>
      </c>
      <c r="C8">
        <v>0.08</v>
      </c>
      <c r="D8">
        <f>Table2[[#This Row],[CI]]-Table2[[#This Row],[TI]]</f>
        <v>0</v>
      </c>
      <c r="E8" s="2">
        <f>Table2[[#This Row],[diff abs]]/Table2[[#This Row],[TI]]</f>
        <v>0</v>
      </c>
    </row>
    <row r="9" spans="1:5" x14ac:dyDescent="0.2">
      <c r="A9" t="s">
        <v>13</v>
      </c>
      <c r="B9">
        <v>0.1</v>
      </c>
      <c r="C9">
        <v>0.08</v>
      </c>
      <c r="D9">
        <f>Table2[[#This Row],[CI]]-Table2[[#This Row],[TI]]</f>
        <v>2.0000000000000004E-2</v>
      </c>
      <c r="E9" s="2">
        <f>Table2[[#This Row],[diff abs]]/Table2[[#This Row],[TI]]</f>
        <v>0.25000000000000006</v>
      </c>
    </row>
    <row r="10" spans="1:5" x14ac:dyDescent="0.2">
      <c r="A10" t="s">
        <v>11</v>
      </c>
      <c r="B10">
        <v>0.11</v>
      </c>
      <c r="C10">
        <v>0.14000000000000001</v>
      </c>
      <c r="D10">
        <f>Table2[[#This Row],[CI]]-Table2[[#This Row],[TI]]</f>
        <v>-3.0000000000000013E-2</v>
      </c>
      <c r="E10" s="2">
        <f>Table2[[#This Row],[diff abs]]/Table2[[#This Row],[TI]]</f>
        <v>-0.21428571428571436</v>
      </c>
    </row>
    <row r="11" spans="1:5" x14ac:dyDescent="0.2">
      <c r="A11" t="s">
        <v>12</v>
      </c>
      <c r="B11">
        <v>0.12</v>
      </c>
      <c r="C11">
        <v>0.06</v>
      </c>
      <c r="D11">
        <f>Table2[[#This Row],[CI]]-Table2[[#This Row],[TI]]</f>
        <v>0.06</v>
      </c>
      <c r="E11" s="2">
        <f>Table2[[#This Row],[diff abs]]/Table2[[#This Row],[TI]]</f>
        <v>1</v>
      </c>
    </row>
    <row r="12" spans="1:5" x14ac:dyDescent="0.2">
      <c r="A12" t="s">
        <v>7</v>
      </c>
      <c r="B12">
        <v>2.5099999999999998</v>
      </c>
      <c r="C12">
        <v>2.54</v>
      </c>
      <c r="D12">
        <f>Table2[[#This Row],[CI]]-Table2[[#This Row],[TI]]</f>
        <v>-3.0000000000000249E-2</v>
      </c>
      <c r="E12" s="2">
        <f>Table2[[#This Row],[diff abs]]/Table2[[#This Row],[TI]]</f>
        <v>-1.1811023622047341E-2</v>
      </c>
    </row>
    <row r="13" spans="1:5" x14ac:dyDescent="0.2">
      <c r="A13" t="s">
        <v>6</v>
      </c>
      <c r="B13">
        <v>2.62</v>
      </c>
      <c r="C13">
        <v>0.87</v>
      </c>
      <c r="D13">
        <f>Table2[[#This Row],[CI]]-Table2[[#This Row],[TI]]</f>
        <v>1.75</v>
      </c>
      <c r="E13" s="2">
        <f>Table2[[#This Row],[diff abs]]/Table2[[#This Row],[TI]]</f>
        <v>2.0114942528735633</v>
      </c>
    </row>
    <row r="14" spans="1:5" x14ac:dyDescent="0.2">
      <c r="A14" t="s">
        <v>9</v>
      </c>
      <c r="B14">
        <v>38.25</v>
      </c>
      <c r="C14">
        <v>36.89</v>
      </c>
      <c r="D14">
        <f>Table2[[#This Row],[CI]]-Table2[[#This Row],[TI]]</f>
        <v>1.3599999999999994</v>
      </c>
      <c r="E14" s="2">
        <f>Table2[[#This Row],[diff abs]]/Table2[[#This Row],[TI]]</f>
        <v>3.6866359447004594E-2</v>
      </c>
    </row>
    <row r="15" spans="1:5" x14ac:dyDescent="0.2">
      <c r="A15" t="s">
        <v>10</v>
      </c>
      <c r="B15">
        <v>48.48</v>
      </c>
      <c r="C15">
        <v>44.98</v>
      </c>
      <c r="D15">
        <f>Table2[[#This Row],[CI]]-Table2[[#This Row],[TI]]</f>
        <v>3.5</v>
      </c>
      <c r="E15" s="2">
        <f>Table2[[#This Row],[diff abs]]/Table2[[#This Row],[TI]]</f>
        <v>7.781236104935528E-2</v>
      </c>
    </row>
    <row r="16" spans="1:5" x14ac:dyDescent="0.2">
      <c r="A16" t="s">
        <v>17</v>
      </c>
      <c r="D16">
        <f>SUBTOTAL(1,Table2[diff abs])</f>
        <v>0.46142857142857135</v>
      </c>
      <c r="E16" s="1">
        <f>SUBTOTAL(1,Table2[diff rel])</f>
        <v>0.15893401681872582</v>
      </c>
    </row>
    <row r="20" spans="1:5" x14ac:dyDescent="0.2">
      <c r="A20" s="3" t="s">
        <v>20</v>
      </c>
    </row>
    <row r="21" spans="1:5" x14ac:dyDescent="0.2">
      <c r="A21" t="s">
        <v>9</v>
      </c>
      <c r="B21">
        <v>37.85</v>
      </c>
      <c r="C21">
        <v>36.89</v>
      </c>
      <c r="D21">
        <f>B21-C21</f>
        <v>0.96000000000000085</v>
      </c>
      <c r="E21" s="2">
        <f>D21/C21</f>
        <v>2.6023312550826804E-2</v>
      </c>
    </row>
    <row r="22" spans="1:5" x14ac:dyDescent="0.2">
      <c r="A22" t="s">
        <v>10</v>
      </c>
      <c r="B22">
        <v>44.82</v>
      </c>
      <c r="C22">
        <v>44.98</v>
      </c>
      <c r="D22">
        <f>B22-C22</f>
        <v>-0.15999999999999659</v>
      </c>
      <c r="E22" s="2">
        <f>D22/C22</f>
        <v>-3.5571365051133082E-3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F4E997-BE38-4948-81FC-E23B792497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Emanuel Linker</dc:creator>
  <cp:lastModifiedBy>Felix Emanuel Linker</cp:lastModifiedBy>
  <dcterms:created xsi:type="dcterms:W3CDTF">2025-08-27T07:28:31Z</dcterms:created>
  <dcterms:modified xsi:type="dcterms:W3CDTF">2025-08-27T10:37:25Z</dcterms:modified>
</cp:coreProperties>
</file>